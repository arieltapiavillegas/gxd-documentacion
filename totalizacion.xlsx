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lcul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<sst xmlns="http://schemas.openxmlformats.org/spreadsheetml/2006/main" count="45" uniqueCount="45">
  <si>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r>
      <rPr>
        <sz val="12"/>
        <color theme="1"/>
        <rFont val="Arial"/>
      </rPr>
      <t xml:space="preserve">PASO 1: notas x </t>
    </r>
    <r>
      <rPr>
        <b/>
        <sz val="12"/>
        <color theme="1"/>
        <rFont val="Arial"/>
      </rPr>
      <t>TEST</t>
    </r>
    <r>
      <rPr>
        <sz val="12"/>
        <color theme="1"/>
        <rFont val="Arial"/>
      </rPr>
      <t xml:space="preserve"> (desaparecen reactivos de competencia y tareas de funciones)</t>
    </r>
  </si>
  <si>
    <t>ctv_gxd_performance_process_test_resume_details</t>
  </si>
  <si>
    <t>Evaluadores</t>
  </si>
  <si>
    <t>Luis</t>
  </si>
  <si>
    <t>Lucas</t>
  </si>
  <si>
    <t>Pedro</t>
  </si>
  <si>
    <t>Juan</t>
  </si>
  <si>
    <t>Diego</t>
  </si>
  <si>
    <t xml:space="preserve">Cliente 1</t>
  </si>
  <si>
    <t xml:space="preserve">Cliente 2</t>
  </si>
  <si>
    <t xml:space="preserve">Cliente 3</t>
  </si>
  <si>
    <t xml:space="preserve">Proveedor 1</t>
  </si>
  <si>
    <t xml:space="preserve">Proveedor 2</t>
  </si>
  <si>
    <t xml:space="preserve">Competencia A</t>
  </si>
  <si>
    <t xml:space="preserve">Competencia B</t>
  </si>
  <si>
    <t xml:space="preserve">Competencia C</t>
  </si>
  <si>
    <t xml:space="preserve">Funcion A</t>
  </si>
  <si>
    <t xml:space="preserve">Funcion B</t>
  </si>
  <si>
    <t xml:space="preserve">Funcion C</t>
  </si>
  <si>
    <t xml:space="preserve">Meta A</t>
  </si>
  <si>
    <t xml:space="preserve">Meta B</t>
  </si>
  <si>
    <r>
      <rPr>
        <sz val="12"/>
        <color indexed="65"/>
        <rFont val="Arial"/>
      </rPr>
      <t xml:space="preserve">PASO 2: notas x </t>
    </r>
    <r>
      <rPr>
        <b/>
        <sz val="12"/>
        <color indexed="65"/>
        <rFont val="Arial"/>
      </rPr>
      <t>ALCANCE</t>
    </r>
    <r>
      <rPr>
        <sz val="12"/>
        <color indexed="65"/>
        <rFont val="Arial"/>
      </rPr>
      <t xml:space="preserve"> (desaparecen los diferentes evaluadores)</t>
    </r>
  </si>
  <si>
    <t xml:space="preserve">Paso 3: nota final promediando alcances</t>
  </si>
  <si>
    <t xml:space="preserve">Paso 4: notas finales competencia/funciones/metas/total</t>
  </si>
  <si>
    <t>ctv_gxd_performance_process_test_resume_by_scope</t>
  </si>
  <si>
    <t>ctv_gxd_performance_process_test_resume_compilated</t>
  </si>
  <si>
    <t>ctv_gxd_performance_process_test_resume</t>
  </si>
  <si>
    <t>"result"</t>
  </si>
  <si>
    <t>"result_normalized"</t>
  </si>
  <si>
    <t>Pesos</t>
  </si>
  <si>
    <t xml:space="preserve">(*) niveles</t>
  </si>
  <si>
    <t xml:space="preserve">(**) normalizado</t>
  </si>
  <si>
    <t xml:space="preserve">(*) Promedio niveles</t>
  </si>
  <si>
    <t xml:space="preserve">(**) Promedio de Normalizados</t>
  </si>
  <si>
    <t>Nota</t>
  </si>
  <si>
    <t xml:space="preserve">Valor esperado</t>
  </si>
  <si>
    <t>Brecha</t>
  </si>
  <si>
    <t xml:space="preserve">Normalizada %</t>
  </si>
  <si>
    <t>pesos</t>
  </si>
  <si>
    <t xml:space="preserve">Promedio final siempre de normalizados</t>
  </si>
  <si>
    <t>Competencias</t>
  </si>
  <si>
    <t xml:space="preserve">(**) Nota final</t>
  </si>
  <si>
    <t>Funciones</t>
  </si>
  <si>
    <t>Metas</t>
  </si>
  <si>
    <t xml:space="preserve">Metas siempre esperan 100%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</si>
</sst>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0 \%"/>
    <numFmt numFmtId="165" formatCode="#,##0 \%"/>
  </numFmts>
  <fonts count="8">
    <font>
      <sz val="10.000000"/>
      <color indexed="64"/>
      <name val="Arial"/>
      <scheme val="minor"/>
    </font>
    <font>
      <sz val="12.00000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sz val="12.000000"/>
      <color indexed="65"/>
      <name val="Arial"/>
      <scheme val="minor"/>
    </font>
    <font>
      <b/>
      <color indexed="65"/>
      <name val="Arial"/>
      <scheme val="minor"/>
    </font>
    <font>
      <color indexed="65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85200C"/>
        <bgColor rgb="FF85200C"/>
      </patternFill>
    </fill>
    <fill>
      <patternFill patternType="solid">
        <fgColor indexed="4"/>
        <bgColor indexed="4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A61C00"/>
        <bgColor rgb="FFA61C00"/>
      </patternFill>
    </fill>
  </fills>
  <borders count="22">
    <border>
      <left style="none"/>
      <right style="none"/>
      <top style="none"/>
      <bottom style="none"/>
      <diagonal style="none"/>
    </border>
    <border>
      <left style="thick">
        <color indexed="64"/>
      </left>
      <right style="none"/>
      <top style="thick">
        <color indexed="64"/>
      </top>
      <bottom style="thick">
        <color indexed="64"/>
      </bottom>
      <diagonal style="none"/>
    </border>
    <border>
      <left style="none"/>
      <right style="none"/>
      <top style="thick">
        <color indexed="64"/>
      </top>
      <bottom style="thick">
        <color indexed="64"/>
      </bottom>
      <diagonal style="none"/>
    </border>
    <border>
      <left style="none"/>
      <right style="thick">
        <color indexed="64"/>
      </right>
      <top style="thick">
        <color indexed="64"/>
      </top>
      <bottom style="thick">
        <color indexed="64"/>
      </bottom>
      <diagonal style="none"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none"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none"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none"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none"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none"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 style="none"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none"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 style="none"/>
    </border>
    <border>
      <left style="thick">
        <color indexed="64"/>
      </left>
      <right style="thick">
        <color indexed="64"/>
      </right>
      <top style="thick">
        <color indexed="64"/>
      </top>
      <bottom style="none"/>
      <diagonal style="none"/>
    </border>
    <border>
      <left style="thick">
        <color indexed="64"/>
      </left>
      <right style="none"/>
      <top style="thick">
        <color indexed="64"/>
      </top>
      <bottom style="thin">
        <color indexed="64"/>
      </bottom>
      <diagonal style="none"/>
    </border>
    <border>
      <left style="thick">
        <color indexed="64"/>
      </left>
      <right style="thick">
        <color indexed="64"/>
      </right>
      <top style="none"/>
      <bottom style="none"/>
      <diagonal style="none"/>
    </border>
    <border>
      <left style="thick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ck">
        <color indexed="64"/>
      </left>
      <right style="thick">
        <color indexed="64"/>
      </right>
      <top style="none"/>
      <bottom style="thick">
        <color indexed="64"/>
      </bottom>
      <diagonal style="none"/>
    </border>
    <border>
      <left style="thick">
        <color indexed="64"/>
      </left>
      <right style="none"/>
      <top style="thin">
        <color indexed="64"/>
      </top>
      <bottom style="thick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79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 vertical="center"/>
    </xf>
    <xf fontId="2" fillId="0" borderId="2" numFmtId="0" xfId="0" applyFont="1" applyBorder="1"/>
    <xf fontId="2" fillId="0" borderId="3" numFmtId="0" xfId="0" applyFont="1" applyBorder="1"/>
    <xf fontId="3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readingOrder="0" vertical="center"/>
    </xf>
    <xf fontId="3" fillId="0" borderId="0" numFmtId="0" xfId="0" applyFont="1" applyAlignment="1">
      <alignment horizontal="right" readingOrder="0" vertical="center"/>
    </xf>
    <xf fontId="3" fillId="0" borderId="0" numFmtId="0" xfId="0" applyFont="1" applyAlignment="1">
      <alignment readingOrder="0" vertical="center"/>
    </xf>
    <xf fontId="4" fillId="0" borderId="0" numFmtId="0" xfId="0" applyFont="1" applyAlignment="1">
      <alignment horizontal="center" readingOrder="0" vertical="center"/>
    </xf>
    <xf fontId="3" fillId="3" borderId="4" numFmtId="4" xfId="0" applyNumberFormat="1" applyFont="1" applyFill="1" applyBorder="1" applyAlignment="1">
      <alignment horizontal="center" readingOrder="0" vertical="center"/>
    </xf>
    <xf fontId="3" fillId="4" borderId="4" numFmtId="4" xfId="0" applyNumberFormat="1" applyFont="1" applyFill="1" applyBorder="1" applyAlignment="1">
      <alignment horizontal="center" readingOrder="0" vertical="center"/>
    </xf>
    <xf fontId="3" fillId="2" borderId="5" numFmtId="4" xfId="0" applyNumberFormat="1" applyFont="1" applyFill="1" applyBorder="1" applyAlignment="1">
      <alignment horizontal="center" readingOrder="0" vertical="center"/>
    </xf>
    <xf fontId="3" fillId="2" borderId="6" numFmtId="4" xfId="0" applyNumberFormat="1" applyFont="1" applyFill="1" applyBorder="1" applyAlignment="1">
      <alignment horizontal="center" readingOrder="0" vertical="center"/>
    </xf>
    <xf fontId="3" fillId="2" borderId="7" numFmtId="4" xfId="0" applyNumberFormat="1" applyFont="1" applyFill="1" applyBorder="1" applyAlignment="1">
      <alignment horizontal="center" readingOrder="0" vertical="center"/>
    </xf>
    <xf fontId="3" fillId="5" borderId="5" numFmtId="4" xfId="0" applyNumberFormat="1" applyFont="1" applyFill="1" applyBorder="1" applyAlignment="1">
      <alignment horizontal="center" readingOrder="0" vertical="center"/>
    </xf>
    <xf fontId="3" fillId="5" borderId="6" numFmtId="4" xfId="0" applyNumberFormat="1" applyFont="1" applyFill="1" applyBorder="1" applyAlignment="1">
      <alignment horizontal="center" readingOrder="0" vertical="center"/>
    </xf>
    <xf fontId="3" fillId="5" borderId="7" numFmtId="4" xfId="0" applyNumberFormat="1" applyFont="1" applyFill="1" applyBorder="1" applyAlignment="1">
      <alignment horizontal="center" readingOrder="0" vertical="center"/>
    </xf>
    <xf fontId="3" fillId="6" borderId="5" numFmtId="4" xfId="0" applyNumberFormat="1" applyFont="1" applyFill="1" applyBorder="1" applyAlignment="1">
      <alignment horizontal="center" readingOrder="0" vertical="center"/>
    </xf>
    <xf fontId="3" fillId="6" borderId="7" numFmtId="4" xfId="0" applyNumberFormat="1" applyFont="1" applyFill="1" applyBorder="1" applyAlignment="1">
      <alignment horizontal="center" readingOrder="0" vertical="center"/>
    </xf>
    <xf fontId="3" fillId="3" borderId="8" numFmtId="4" xfId="0" applyNumberFormat="1" applyFont="1" applyFill="1" applyBorder="1" applyAlignment="1">
      <alignment horizontal="center" readingOrder="0" vertical="center"/>
    </xf>
    <xf fontId="3" fillId="4" borderId="8" numFmtId="4" xfId="0" applyNumberFormat="1" applyFont="1" applyFill="1" applyBorder="1" applyAlignment="1">
      <alignment horizontal="center" readingOrder="0" vertical="center"/>
    </xf>
    <xf fontId="3" fillId="2" borderId="9" numFmtId="4" xfId="0" applyNumberFormat="1" applyFont="1" applyFill="1" applyBorder="1" applyAlignment="1">
      <alignment horizontal="center" readingOrder="0" vertical="center"/>
    </xf>
    <xf fontId="3" fillId="2" borderId="10" numFmtId="4" xfId="0" applyNumberFormat="1" applyFont="1" applyFill="1" applyBorder="1" applyAlignment="1">
      <alignment horizontal="center" readingOrder="0" vertical="center"/>
    </xf>
    <xf fontId="3" fillId="2" borderId="11" numFmtId="4" xfId="0" applyNumberFormat="1" applyFont="1" applyFill="1" applyBorder="1" applyAlignment="1">
      <alignment horizontal="center" readingOrder="0" vertical="center"/>
    </xf>
    <xf fontId="3" fillId="5" borderId="9" numFmtId="4" xfId="0" applyNumberFormat="1" applyFont="1" applyFill="1" applyBorder="1" applyAlignment="1">
      <alignment horizontal="center" readingOrder="0" vertical="center"/>
    </xf>
    <xf fontId="3" fillId="5" borderId="10" numFmtId="4" xfId="0" applyNumberFormat="1" applyFont="1" applyFill="1" applyBorder="1" applyAlignment="1">
      <alignment horizontal="center" readingOrder="0" vertical="center"/>
    </xf>
    <xf fontId="3" fillId="5" borderId="11" numFmtId="4" xfId="0" applyNumberFormat="1" applyFont="1" applyFill="1" applyBorder="1" applyAlignment="1">
      <alignment horizontal="center" readingOrder="0" vertical="center"/>
    </xf>
    <xf fontId="3" fillId="6" borderId="9" numFmtId="4" xfId="0" applyNumberFormat="1" applyFont="1" applyFill="1" applyBorder="1" applyAlignment="1">
      <alignment horizontal="center" readingOrder="0" vertical="center"/>
    </xf>
    <xf fontId="3" fillId="6" borderId="11" numFmtId="4" xfId="0" applyNumberFormat="1" applyFont="1" applyFill="1" applyBorder="1" applyAlignment="1">
      <alignment horizontal="center" readingOrder="0" vertical="center"/>
    </xf>
    <xf fontId="3" fillId="4" borderId="8" numFmtId="164" xfId="0" applyNumberFormat="1" applyFont="1" applyFill="1" applyBorder="1" applyAlignment="1">
      <alignment horizontal="center" readingOrder="0" vertical="center"/>
    </xf>
    <xf fontId="3" fillId="3" borderId="12" numFmtId="4" xfId="0" applyNumberFormat="1" applyFont="1" applyFill="1" applyBorder="1" applyAlignment="1">
      <alignment horizontal="center" readingOrder="0" vertical="center"/>
    </xf>
    <xf fontId="3" fillId="4" borderId="12" numFmtId="164" xfId="0" applyNumberFormat="1" applyFont="1" applyFill="1" applyBorder="1" applyAlignment="1">
      <alignment horizontal="center" readingOrder="0" vertical="center"/>
    </xf>
    <xf fontId="3" fillId="2" borderId="13" numFmtId="4" xfId="0" applyNumberFormat="1" applyFont="1" applyFill="1" applyBorder="1" applyAlignment="1">
      <alignment horizontal="center" readingOrder="0" vertical="center"/>
    </xf>
    <xf fontId="3" fillId="2" borderId="14" numFmtId="4" xfId="0" applyNumberFormat="1" applyFont="1" applyFill="1" applyBorder="1" applyAlignment="1">
      <alignment horizontal="center" readingOrder="0" vertical="center"/>
    </xf>
    <xf fontId="3" fillId="2" borderId="15" numFmtId="4" xfId="0" applyNumberFormat="1" applyFont="1" applyFill="1" applyBorder="1" applyAlignment="1">
      <alignment horizontal="center" readingOrder="0" vertical="center"/>
    </xf>
    <xf fontId="3" fillId="5" borderId="13" numFmtId="4" xfId="0" applyNumberFormat="1" applyFont="1" applyFill="1" applyBorder="1" applyAlignment="1">
      <alignment horizontal="center" readingOrder="0" vertical="center"/>
    </xf>
    <xf fontId="3" fillId="5" borderId="14" numFmtId="4" xfId="0" applyNumberFormat="1" applyFont="1" applyFill="1" applyBorder="1" applyAlignment="1">
      <alignment horizontal="center" readingOrder="0" vertical="center"/>
    </xf>
    <xf fontId="3" fillId="5" borderId="15" numFmtId="4" xfId="0" applyNumberFormat="1" applyFont="1" applyFill="1" applyBorder="1" applyAlignment="1">
      <alignment horizontal="center" readingOrder="0" vertical="center"/>
    </xf>
    <xf fontId="3" fillId="6" borderId="13" numFmtId="4" xfId="0" applyNumberFormat="1" applyFont="1" applyFill="1" applyBorder="1" applyAlignment="1">
      <alignment horizontal="center" readingOrder="0" vertical="center"/>
    </xf>
    <xf fontId="3" fillId="6" borderId="15" numFmtId="4" xfId="0" applyNumberFormat="1" applyFont="1" applyFill="1" applyBorder="1" applyAlignment="1">
      <alignment horizontal="center" readingOrder="0" vertical="center"/>
    </xf>
    <xf fontId="5" fillId="7" borderId="1" numFmtId="0" xfId="0" applyFont="1" applyFill="1" applyBorder="1" applyAlignment="1">
      <alignment horizontal="center" readingOrder="0" vertical="center"/>
    </xf>
    <xf fontId="5" fillId="8" borderId="1" numFmtId="0" xfId="0" applyFont="1" applyFill="1" applyBorder="1" applyAlignment="1">
      <alignment horizontal="center" readingOrder="0" vertical="center"/>
    </xf>
    <xf fontId="5" fillId="9" borderId="1" numFmtId="0" xfId="0" applyFont="1" applyFill="1" applyBorder="1" applyAlignment="1">
      <alignment horizontal="center" readingOrder="0" vertical="center"/>
    </xf>
    <xf fontId="3" fillId="0" borderId="10" numFmtId="165" xfId="0" applyNumberFormat="1" applyFont="1" applyBorder="1" applyAlignment="1">
      <alignment horizontal="center" readingOrder="0" vertical="center"/>
    </xf>
    <xf fontId="6" fillId="10" borderId="0" numFmtId="0" xfId="0" applyFont="1" applyFill="1" applyAlignment="1">
      <alignment horizontal="center" readingOrder="0" vertical="center"/>
    </xf>
    <xf fontId="6" fillId="11" borderId="0" numFmtId="0" xfId="0" applyFont="1" applyFill="1" applyAlignment="1">
      <alignment horizontal="center" readingOrder="0" vertical="center"/>
    </xf>
    <xf fontId="6" fillId="10" borderId="0" numFmtId="0" xfId="0" applyFont="1" applyFill="1" applyAlignment="1">
      <alignment horizontal="center" readingOrder="0" vertical="center" wrapText="1"/>
    </xf>
    <xf fontId="6" fillId="11" borderId="0" numFmtId="0" xfId="0" applyFont="1" applyFill="1" applyAlignment="1">
      <alignment horizontal="center" readingOrder="0" vertical="center" wrapText="1"/>
    </xf>
    <xf fontId="3" fillId="0" borderId="16" numFmtId="0" xfId="0" applyFont="1" applyBorder="1" applyAlignment="1">
      <alignment horizontal="center" readingOrder="0" vertical="center" wrapText="1"/>
    </xf>
    <xf fontId="3" fillId="5" borderId="17" numFmtId="4" xfId="0" applyNumberFormat="1" applyFont="1" applyFill="1" applyBorder="1" applyAlignment="1">
      <alignment horizontal="center" readingOrder="0" vertical="center"/>
    </xf>
    <xf fontId="3" fillId="6" borderId="17" numFmtId="4" xfId="0" applyNumberFormat="1" applyFont="1" applyFill="1" applyBorder="1" applyAlignment="1">
      <alignment horizontal="center" readingOrder="0" vertical="center"/>
    </xf>
    <xf fontId="7" fillId="12" borderId="5" numFmtId="2" xfId="0" applyNumberFormat="1" applyFont="1" applyFill="1" applyBorder="1" applyAlignment="1">
      <alignment vertical="center"/>
    </xf>
    <xf fontId="3" fillId="0" borderId="6" numFmtId="0" xfId="0" applyFont="1" applyBorder="1" applyAlignment="1">
      <alignment readingOrder="0" vertical="center"/>
    </xf>
    <xf fontId="3" fillId="0" borderId="6" numFmtId="2" xfId="0" applyNumberFormat="1" applyFont="1" applyBorder="1" applyAlignment="1">
      <alignment vertical="center"/>
    </xf>
    <xf fontId="7" fillId="13" borderId="6" numFmtId="2" xfId="0" applyNumberFormat="1" applyFont="1" applyFill="1" applyBorder="1" applyAlignment="1">
      <alignment vertical="center"/>
    </xf>
    <xf fontId="3" fillId="0" borderId="7" numFmtId="165" xfId="0" applyNumberFormat="1" applyFont="1" applyBorder="1" applyAlignment="1">
      <alignment horizontal="right" readingOrder="0" vertical="center"/>
    </xf>
    <xf fontId="7" fillId="12" borderId="0" numFmtId="2" xfId="0" applyNumberFormat="1" applyFont="1" applyFill="1" applyAlignment="1">
      <alignment horizontal="center" vertical="center"/>
    </xf>
    <xf fontId="7" fillId="13" borderId="0" numFmtId="164" xfId="0" applyNumberFormat="1" applyFont="1" applyFill="1" applyAlignment="1">
      <alignment horizontal="center" vertical="center"/>
    </xf>
    <xf fontId="3" fillId="0" borderId="0" numFmtId="164" xfId="0" applyNumberFormat="1" applyFont="1" applyAlignment="1">
      <alignment horizontal="center" readingOrder="0" vertical="center"/>
    </xf>
    <xf fontId="2" fillId="0" borderId="18" numFmtId="0" xfId="0" applyFont="1" applyBorder="1"/>
    <xf fontId="3" fillId="5" borderId="19" numFmtId="4" xfId="0" applyNumberFormat="1" applyFont="1" applyFill="1" applyBorder="1" applyAlignment="1">
      <alignment horizontal="center" readingOrder="0" vertical="center"/>
    </xf>
    <xf fontId="3" fillId="6" borderId="19" numFmtId="4" xfId="0" applyNumberFormat="1" applyFont="1" applyFill="1" applyBorder="1" applyAlignment="1">
      <alignment horizontal="center" readingOrder="0" vertical="center"/>
    </xf>
    <xf fontId="7" fillId="12" borderId="9" numFmtId="2" xfId="0" applyNumberFormat="1" applyFont="1" applyFill="1" applyBorder="1" applyAlignment="1">
      <alignment vertical="center"/>
    </xf>
    <xf fontId="3" fillId="0" borderId="10" numFmtId="0" xfId="0" applyFont="1" applyBorder="1" applyAlignment="1">
      <alignment readingOrder="0" vertical="center"/>
    </xf>
    <xf fontId="3" fillId="0" borderId="10" numFmtId="2" xfId="0" applyNumberFormat="1" applyFont="1" applyBorder="1" applyAlignment="1">
      <alignment vertical="center"/>
    </xf>
    <xf fontId="7" fillId="13" borderId="10" numFmtId="2" xfId="0" applyNumberFormat="1" applyFont="1" applyFill="1" applyBorder="1" applyAlignment="1">
      <alignment vertical="center"/>
    </xf>
    <xf fontId="3" fillId="0" borderId="11" numFmtId="165" xfId="0" applyNumberFormat="1" applyFont="1" applyBorder="1" applyAlignment="1">
      <alignment horizontal="right" readingOrder="0" vertical="center"/>
    </xf>
    <xf fontId="6" fillId="13" borderId="18" numFmtId="0" xfId="0" applyFont="1" applyFill="1" applyBorder="1" applyAlignment="1">
      <alignment horizontal="center" readingOrder="0" vertical="center" wrapText="1"/>
    </xf>
    <xf fontId="6" fillId="13" borderId="20" numFmtId="164" xfId="0" applyNumberFormat="1" applyFont="1" applyFill="1" applyBorder="1" applyAlignment="1">
      <alignment horizontal="center" vertical="center"/>
    </xf>
    <xf fontId="7" fillId="12" borderId="9" numFmtId="164" xfId="0" applyNumberFormat="1" applyFont="1" applyFill="1" applyBorder="1" applyAlignment="1">
      <alignment vertical="center"/>
    </xf>
    <xf fontId="3" fillId="0" borderId="10" numFmtId="164" xfId="0" applyNumberFormat="1" applyFont="1" applyBorder="1" applyAlignment="1">
      <alignment vertical="center"/>
    </xf>
    <xf fontId="7" fillId="12" borderId="0" numFmtId="164" xfId="0" applyNumberFormat="1" applyFont="1" applyFill="1" applyAlignment="1">
      <alignment horizontal="center" vertical="center"/>
    </xf>
    <xf fontId="3" fillId="5" borderId="21" numFmtId="4" xfId="0" applyNumberFormat="1" applyFont="1" applyFill="1" applyBorder="1" applyAlignment="1">
      <alignment horizontal="center" readingOrder="0" vertical="center"/>
    </xf>
    <xf fontId="3" fillId="6" borderId="21" numFmtId="4" xfId="0" applyNumberFormat="1" applyFont="1" applyFill="1" applyBorder="1" applyAlignment="1">
      <alignment horizontal="center" readingOrder="0" vertical="center"/>
    </xf>
    <xf fontId="7" fillId="12" borderId="13" numFmtId="164" xfId="0" applyNumberFormat="1" applyFont="1" applyFill="1" applyBorder="1" applyAlignment="1">
      <alignment vertical="center"/>
    </xf>
    <xf fontId="3" fillId="0" borderId="14" numFmtId="164" xfId="0" applyNumberFormat="1" applyFont="1" applyBorder="1" applyAlignment="1">
      <alignment vertical="center"/>
    </xf>
    <xf fontId="7" fillId="13" borderId="14" numFmtId="2" xfId="0" applyNumberFormat="1" applyFont="1" applyFill="1" applyBorder="1" applyAlignment="1">
      <alignment vertical="center"/>
    </xf>
    <xf fontId="3" fillId="0" borderId="15" numFmtId="165" xfId="0" applyNumberFormat="1" applyFont="1" applyBorder="1" applyAlignment="1">
      <alignment horizontal="right" readingOrder="0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6.421875"/>
    <col customWidth="1" min="2" max="2" width="17.129999999999999"/>
    <col customWidth="1" min="10" max="10" width="15.00390625"/>
    <col customWidth="1" min="14" max="14" width="15.880000000000001"/>
    <col customWidth="1" min="15" max="15" width="10.5"/>
  </cols>
  <sheetData>
    <row r="1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5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1</v>
      </c>
      <c r="M2" s="4"/>
      <c r="N2" s="4"/>
      <c r="O2" s="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8" t="s">
        <v>10</v>
      </c>
      <c r="J4" s="8" t="s">
        <v>11</v>
      </c>
      <c r="K4" s="8" t="s">
        <v>12</v>
      </c>
      <c r="L4" s="4"/>
      <c r="M4" s="4"/>
      <c r="N4" s="4"/>
      <c r="O4" s="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8"/>
      <c r="B5" s="9">
        <v>1</v>
      </c>
      <c r="C5" s="9">
        <v>90</v>
      </c>
      <c r="D5" s="9">
        <v>180</v>
      </c>
      <c r="E5" s="9">
        <v>180</v>
      </c>
      <c r="F5" s="9">
        <v>180</v>
      </c>
      <c r="G5" s="9">
        <v>2701</v>
      </c>
      <c r="H5" s="9">
        <v>2701</v>
      </c>
      <c r="I5" s="9">
        <v>2701</v>
      </c>
      <c r="J5" s="9">
        <v>2702</v>
      </c>
      <c r="K5" s="9">
        <v>2702</v>
      </c>
      <c r="L5" s="4"/>
      <c r="M5" s="4"/>
      <c r="N5" s="4"/>
      <c r="O5" s="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13</v>
      </c>
      <c r="B6" s="10"/>
      <c r="C6" s="11">
        <v>2</v>
      </c>
      <c r="D6" s="12">
        <v>2</v>
      </c>
      <c r="E6" s="13">
        <v>4</v>
      </c>
      <c r="F6" s="14">
        <v>3</v>
      </c>
      <c r="G6" s="15">
        <v>5</v>
      </c>
      <c r="H6" s="16">
        <v>4</v>
      </c>
      <c r="I6" s="17">
        <v>3</v>
      </c>
      <c r="J6" s="18"/>
      <c r="K6" s="19"/>
      <c r="L6" s="4"/>
      <c r="M6" s="4"/>
      <c r="N6" s="4"/>
      <c r="O6" s="5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8" t="s">
        <v>14</v>
      </c>
      <c r="B7" s="20">
        <v>3</v>
      </c>
      <c r="C7" s="21">
        <v>4</v>
      </c>
      <c r="D7" s="22">
        <v>4</v>
      </c>
      <c r="E7" s="23">
        <v>4</v>
      </c>
      <c r="F7" s="24">
        <v>3</v>
      </c>
      <c r="G7" s="25"/>
      <c r="H7" s="26"/>
      <c r="I7" s="27"/>
      <c r="J7" s="28">
        <v>2</v>
      </c>
      <c r="K7" s="29">
        <v>3</v>
      </c>
      <c r="L7" s="4"/>
      <c r="M7" s="4"/>
      <c r="N7" s="4"/>
      <c r="O7" s="5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 t="s">
        <v>15</v>
      </c>
      <c r="B8" s="20">
        <v>4</v>
      </c>
      <c r="C8" s="21">
        <v>5</v>
      </c>
      <c r="D8" s="22">
        <v>5</v>
      </c>
      <c r="E8" s="23">
        <v>5</v>
      </c>
      <c r="F8" s="24">
        <v>4</v>
      </c>
      <c r="G8" s="25">
        <v>5</v>
      </c>
      <c r="H8" s="26">
        <v>5</v>
      </c>
      <c r="I8" s="27">
        <v>5</v>
      </c>
      <c r="J8" s="28">
        <v>5</v>
      </c>
      <c r="K8" s="29">
        <v>3</v>
      </c>
      <c r="L8" s="4"/>
      <c r="M8" s="4"/>
      <c r="N8" s="4"/>
      <c r="O8" s="5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8" t="s">
        <v>16</v>
      </c>
      <c r="B9" s="20">
        <v>4</v>
      </c>
      <c r="C9" s="21">
        <v>1</v>
      </c>
      <c r="D9" s="22">
        <v>2</v>
      </c>
      <c r="E9" s="23">
        <v>2</v>
      </c>
      <c r="F9" s="24">
        <v>2</v>
      </c>
      <c r="G9" s="25"/>
      <c r="H9" s="26"/>
      <c r="I9" s="27"/>
      <c r="J9" s="28">
        <v>5</v>
      </c>
      <c r="K9" s="29">
        <v>4</v>
      </c>
      <c r="L9" s="4"/>
      <c r="M9" s="4"/>
      <c r="N9" s="4"/>
      <c r="O9" s="5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8" t="s">
        <v>17</v>
      </c>
      <c r="B10" s="20">
        <v>2</v>
      </c>
      <c r="C10" s="21">
        <v>3</v>
      </c>
      <c r="D10" s="22">
        <v>5</v>
      </c>
      <c r="E10" s="23">
        <v>5</v>
      </c>
      <c r="F10" s="24">
        <v>5</v>
      </c>
      <c r="G10" s="25">
        <v>1</v>
      </c>
      <c r="H10" s="26">
        <v>2</v>
      </c>
      <c r="I10" s="27">
        <v>4</v>
      </c>
      <c r="J10" s="28">
        <v>4</v>
      </c>
      <c r="K10" s="29">
        <v>2</v>
      </c>
      <c r="L10" s="4"/>
      <c r="M10" s="4"/>
      <c r="N10" s="4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8" t="s">
        <v>18</v>
      </c>
      <c r="B11" s="20">
        <v>2</v>
      </c>
      <c r="C11" s="21">
        <v>2</v>
      </c>
      <c r="D11" s="22">
        <v>5</v>
      </c>
      <c r="E11" s="23">
        <v>5</v>
      </c>
      <c r="F11" s="24">
        <v>5</v>
      </c>
      <c r="G11" s="25">
        <v>3</v>
      </c>
      <c r="H11" s="26">
        <v>3</v>
      </c>
      <c r="I11" s="27">
        <v>2</v>
      </c>
      <c r="J11" s="28"/>
      <c r="K11" s="29"/>
      <c r="L11" s="4"/>
      <c r="M11" s="4"/>
      <c r="N11" s="4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8" t="s">
        <v>19</v>
      </c>
      <c r="B12" s="20"/>
      <c r="C12" s="30">
        <v>90</v>
      </c>
      <c r="D12" s="22"/>
      <c r="E12" s="23"/>
      <c r="F12" s="24"/>
      <c r="G12" s="25"/>
      <c r="H12" s="26"/>
      <c r="I12" s="27"/>
      <c r="J12" s="28"/>
      <c r="K12" s="29"/>
      <c r="L12" s="4"/>
      <c r="M12" s="4"/>
      <c r="N12" s="4"/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8" t="s">
        <v>20</v>
      </c>
      <c r="B13" s="31"/>
      <c r="C13" s="32">
        <v>79</v>
      </c>
      <c r="D13" s="33"/>
      <c r="E13" s="34"/>
      <c r="F13" s="35"/>
      <c r="G13" s="36"/>
      <c r="H13" s="37"/>
      <c r="I13" s="38"/>
      <c r="J13" s="39"/>
      <c r="K13" s="40"/>
      <c r="L13" s="4"/>
      <c r="M13" s="4"/>
      <c r="N13" s="4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" customHeight="1">
      <c r="A16" s="41" t="s">
        <v>21</v>
      </c>
      <c r="B16" s="2"/>
      <c r="C16" s="2"/>
      <c r="D16" s="2"/>
      <c r="E16" s="2"/>
      <c r="F16" s="2"/>
      <c r="G16" s="42" t="s">
        <v>22</v>
      </c>
      <c r="H16" s="2"/>
      <c r="I16" s="2"/>
      <c r="J16" s="2"/>
      <c r="K16" s="3"/>
      <c r="L16" s="43" t="s">
        <v>23</v>
      </c>
      <c r="M16" s="2"/>
      <c r="N16" s="2"/>
      <c r="O16" s="2"/>
      <c r="P16" s="3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6" t="s">
        <v>24</v>
      </c>
      <c r="G17" s="6" t="s">
        <v>25</v>
      </c>
      <c r="L17" s="6" t="s">
        <v>26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6"/>
      <c r="D18" s="6"/>
      <c r="E18" s="6"/>
      <c r="F18" s="6"/>
      <c r="G18" s="6"/>
      <c r="H18" s="4"/>
      <c r="I18" s="4"/>
      <c r="J18" s="4"/>
      <c r="K18" s="4"/>
      <c r="L18" s="4"/>
      <c r="M18" s="6" t="s">
        <v>27</v>
      </c>
      <c r="N18" s="6" t="s">
        <v>28</v>
      </c>
      <c r="O18" s="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7" t="s">
        <v>29</v>
      </c>
      <c r="B19" s="44">
        <v>10</v>
      </c>
      <c r="C19" s="44">
        <v>15</v>
      </c>
      <c r="D19" s="44">
        <v>20</v>
      </c>
      <c r="E19" s="44">
        <v>25</v>
      </c>
      <c r="F19" s="44">
        <v>30</v>
      </c>
      <c r="G19" s="45" t="s">
        <v>30</v>
      </c>
      <c r="H19" s="4"/>
      <c r="I19" s="4"/>
      <c r="J19" s="46" t="s">
        <v>31</v>
      </c>
      <c r="K19" s="4"/>
      <c r="L19" s="4"/>
      <c r="M19" s="47" t="s">
        <v>32</v>
      </c>
      <c r="N19" s="48" t="s">
        <v>33</v>
      </c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8"/>
      <c r="B20" s="9">
        <v>1</v>
      </c>
      <c r="C20" s="9">
        <v>90</v>
      </c>
      <c r="D20" s="9">
        <v>180</v>
      </c>
      <c r="E20" s="9">
        <v>2701</v>
      </c>
      <c r="F20" s="9">
        <v>2702</v>
      </c>
      <c r="G20" s="6" t="s">
        <v>34</v>
      </c>
      <c r="H20" s="6" t="s">
        <v>35</v>
      </c>
      <c r="I20" s="6" t="s">
        <v>36</v>
      </c>
      <c r="J20" s="6" t="s">
        <v>37</v>
      </c>
      <c r="K20" s="7" t="s">
        <v>38</v>
      </c>
      <c r="L20" s="4"/>
      <c r="O20" s="6" t="s">
        <v>29</v>
      </c>
      <c r="P20" s="49" t="s">
        <v>39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8" t="s">
        <v>13</v>
      </c>
      <c r="B21" s="10"/>
      <c r="C21" s="11">
        <f t="shared" ref="C21:C28" si="0">C6</f>
        <v>2</v>
      </c>
      <c r="D21" s="12">
        <f t="shared" ref="D21:D26" si="1">SUM(D6:F6)/3</f>
        <v>3</v>
      </c>
      <c r="E21" s="50">
        <f>SUM(G6:I6)/3</f>
        <v>4</v>
      </c>
      <c r="F21" s="51"/>
      <c r="G21" s="52">
        <f>(C21*C19+D21*D19+E21*E19) / SUM(C19,D19,E19)</f>
        <v>3.1666666669999999</v>
      </c>
      <c r="H21" s="53">
        <v>2</v>
      </c>
      <c r="I21" s="54">
        <f t="shared" ref="I21:I28" si="2">G21-H21</f>
        <v>1.1666666670000001</v>
      </c>
      <c r="J21" s="55">
        <f t="shared" ref="J21:J28" si="3">100*G21/H21</f>
        <v>158.33333329999999</v>
      </c>
      <c r="K21" s="56">
        <v>40</v>
      </c>
      <c r="L21" s="8" t="s">
        <v>40</v>
      </c>
      <c r="M21" s="57">
        <f>(G21*K21+G22*K22+G23*K23) / SUM(K21,K22,K23)</f>
        <v>3.715555556</v>
      </c>
      <c r="N21" s="58">
        <f>(J21*K21+J22*K22+J23*K23) / SUM(K21,K22,K23)</f>
        <v>126.8296296</v>
      </c>
      <c r="O21" s="59">
        <v>30</v>
      </c>
      <c r="P21" s="60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8" t="s">
        <v>14</v>
      </c>
      <c r="B22" s="20">
        <v>3</v>
      </c>
      <c r="C22" s="21">
        <f t="shared" si="0"/>
        <v>4</v>
      </c>
      <c r="D22" s="22">
        <f t="shared" si="1"/>
        <v>3.6666666669999999</v>
      </c>
      <c r="E22" s="61"/>
      <c r="F22" s="62">
        <f t="shared" ref="F22:F25" si="4">SUM(J7:K7)/2</f>
        <v>2.5</v>
      </c>
      <c r="G22" s="63">
        <f>(B22*B19+C22*C19+D22*D19) / SUM(B19,C19,D19)</f>
        <v>3.6296296300000002</v>
      </c>
      <c r="H22" s="64">
        <v>3</v>
      </c>
      <c r="I22" s="65">
        <f t="shared" si="2"/>
        <v>0.62962962960000002</v>
      </c>
      <c r="J22" s="66">
        <f t="shared" si="3"/>
        <v>120.9876543</v>
      </c>
      <c r="K22" s="67">
        <v>30</v>
      </c>
      <c r="L22" s="4"/>
      <c r="M22" s="5"/>
      <c r="N22" s="5"/>
      <c r="O22" s="5"/>
      <c r="P22" s="60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8" t="s">
        <v>15</v>
      </c>
      <c r="B23" s="20">
        <v>4</v>
      </c>
      <c r="C23" s="21">
        <f t="shared" si="0"/>
        <v>5</v>
      </c>
      <c r="D23" s="22">
        <f t="shared" si="1"/>
        <v>4.6666666670000003</v>
      </c>
      <c r="E23" s="61">
        <f>SUM(G8:I8)/3</f>
        <v>5</v>
      </c>
      <c r="F23" s="62">
        <f t="shared" si="4"/>
        <v>4</v>
      </c>
      <c r="G23" s="63">
        <f>(B23*B19+C23*C19+D23*D19+E23*E19+F23*F19) / SUM(B19,C19,D19,E19,F19)</f>
        <v>4.5333333329999999</v>
      </c>
      <c r="H23" s="64">
        <v>5</v>
      </c>
      <c r="I23" s="65">
        <f t="shared" si="2"/>
        <v>-0.46666666670000001</v>
      </c>
      <c r="J23" s="66">
        <f t="shared" si="3"/>
        <v>90.666666669999998</v>
      </c>
      <c r="K23" s="67">
        <v>30</v>
      </c>
      <c r="L23" s="4"/>
      <c r="M23" s="5"/>
      <c r="N23" s="5"/>
      <c r="O23" s="5"/>
      <c r="P23" s="68" t="s">
        <v>41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8" t="s">
        <v>16</v>
      </c>
      <c r="B24" s="20">
        <v>4</v>
      </c>
      <c r="C24" s="21">
        <f t="shared" si="0"/>
        <v>1</v>
      </c>
      <c r="D24" s="22">
        <f t="shared" si="1"/>
        <v>2</v>
      </c>
      <c r="E24" s="61"/>
      <c r="F24" s="62">
        <f t="shared" si="4"/>
        <v>4.5</v>
      </c>
      <c r="G24" s="63">
        <f>(B24*B20+C24*C20+D24*D20+F24*F20) / SUM(B20,C20,D20,F20)</f>
        <v>4.242515977</v>
      </c>
      <c r="H24" s="64">
        <v>3</v>
      </c>
      <c r="I24" s="65">
        <f t="shared" si="2"/>
        <v>1.242515977</v>
      </c>
      <c r="J24" s="66">
        <f t="shared" si="3"/>
        <v>141.4171992</v>
      </c>
      <c r="K24" s="67">
        <v>33</v>
      </c>
      <c r="L24" s="8" t="s">
        <v>42</v>
      </c>
      <c r="M24" s="57">
        <f>(G24*K24+G25*K25+G26*K26) / SUM(K24,K25,K26)</f>
        <v>3.548045449</v>
      </c>
      <c r="N24" s="58">
        <f>(J24*K24+J25*K25+J26*K26) / SUM(K24,K25,K26)</f>
        <v>94.86861888</v>
      </c>
      <c r="O24" s="59">
        <v>45</v>
      </c>
      <c r="P24" s="69">
        <f>(N21*O21+N24*O24+N27*O27)/SUM(O21,O24,O27)</f>
        <v>101.31476739999999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8" t="s">
        <v>17</v>
      </c>
      <c r="B25" s="20">
        <v>2</v>
      </c>
      <c r="C25" s="21">
        <f t="shared" si="0"/>
        <v>3</v>
      </c>
      <c r="D25" s="22">
        <f t="shared" si="1"/>
        <v>5</v>
      </c>
      <c r="E25" s="61">
        <f t="shared" ref="E25:E26" si="5">SUM(G10:I10)/3</f>
        <v>2.3333333330000001</v>
      </c>
      <c r="F25" s="62">
        <f t="shared" si="4"/>
        <v>3</v>
      </c>
      <c r="G25" s="63">
        <f>(B25*B21+C25*C21+D25*D21+E25*E21+F25*F21) / SUM(B21,C21,D21,E21,F21)</f>
        <v>3.3703703699999998</v>
      </c>
      <c r="H25" s="64">
        <v>5</v>
      </c>
      <c r="I25" s="65">
        <f t="shared" si="2"/>
        <v>-1.6296296299999999</v>
      </c>
      <c r="J25" s="66">
        <f t="shared" si="3"/>
        <v>67.407407410000005</v>
      </c>
      <c r="K25" s="67">
        <v>33</v>
      </c>
      <c r="L25" s="4"/>
      <c r="M25" s="5"/>
      <c r="N25" s="5"/>
      <c r="O25" s="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8" t="s">
        <v>18</v>
      </c>
      <c r="B26" s="20">
        <v>2</v>
      </c>
      <c r="C26" s="21">
        <f t="shared" si="0"/>
        <v>2</v>
      </c>
      <c r="D26" s="22">
        <f t="shared" si="1"/>
        <v>5</v>
      </c>
      <c r="E26" s="61">
        <f t="shared" si="5"/>
        <v>2.6666666669999999</v>
      </c>
      <c r="F26" s="62"/>
      <c r="G26" s="63">
        <f>(B26*B22+C26*C22+D26*D22+E26*E22) / SUM(B22,C22,D22,E22)</f>
        <v>3.03125</v>
      </c>
      <c r="H26" s="64">
        <v>4</v>
      </c>
      <c r="I26" s="65">
        <f t="shared" si="2"/>
        <v>-0.96875</v>
      </c>
      <c r="J26" s="66">
        <f t="shared" si="3"/>
        <v>75.78125</v>
      </c>
      <c r="K26" s="67">
        <v>33</v>
      </c>
      <c r="L26" s="4"/>
      <c r="M26" s="5"/>
      <c r="N26" s="5"/>
      <c r="O26" s="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8" t="s">
        <v>19</v>
      </c>
      <c r="B27" s="20"/>
      <c r="C27" s="30">
        <f t="shared" si="0"/>
        <v>90</v>
      </c>
      <c r="D27" s="22"/>
      <c r="E27" s="61"/>
      <c r="F27" s="62"/>
      <c r="G27" s="70">
        <f t="shared" ref="G27:G28" si="6">C27</f>
        <v>90</v>
      </c>
      <c r="H27" s="71">
        <v>100</v>
      </c>
      <c r="I27" s="71">
        <f t="shared" si="2"/>
        <v>-10</v>
      </c>
      <c r="J27" s="66">
        <f t="shared" si="3"/>
        <v>90</v>
      </c>
      <c r="K27" s="67">
        <v>30</v>
      </c>
      <c r="L27" s="8" t="s">
        <v>43</v>
      </c>
      <c r="M27" s="72">
        <f>(G27*K27+G28*K28) / SUM(K27,K28)</f>
        <v>82.299999999999997</v>
      </c>
      <c r="N27" s="58">
        <f>(J27*K27+J28*K28) / SUM(K27,K28)</f>
        <v>82.299999999999997</v>
      </c>
      <c r="O27" s="59">
        <v>25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8" t="s">
        <v>20</v>
      </c>
      <c r="B28" s="31"/>
      <c r="C28" s="32">
        <f t="shared" si="0"/>
        <v>79</v>
      </c>
      <c r="D28" s="33"/>
      <c r="E28" s="73"/>
      <c r="F28" s="74"/>
      <c r="G28" s="75">
        <f t="shared" si="6"/>
        <v>79</v>
      </c>
      <c r="H28" s="76">
        <v>100</v>
      </c>
      <c r="I28" s="76">
        <f t="shared" si="2"/>
        <v>-21</v>
      </c>
      <c r="J28" s="77">
        <f t="shared" si="3"/>
        <v>79</v>
      </c>
      <c r="K28" s="78">
        <v>70</v>
      </c>
      <c r="L28" s="4"/>
      <c r="M28" s="5"/>
      <c r="N28" s="5"/>
      <c r="O28" s="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8" t="s">
        <v>44</v>
      </c>
      <c r="J29" s="4"/>
      <c r="K29" s="4"/>
      <c r="L29" s="4"/>
      <c r="M29" s="4"/>
      <c r="N29" s="4"/>
      <c r="O29" s="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5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5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5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5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5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5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5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5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5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5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5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5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5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5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5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5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5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5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5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5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5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5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5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5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5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5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5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5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5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5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5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5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5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5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5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5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5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5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5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</sheetData>
  <mergeCells count="11">
    <mergeCell ref="A1:K1"/>
    <mergeCell ref="A2:L2"/>
    <mergeCell ref="A16:F16"/>
    <mergeCell ref="G16:K16"/>
    <mergeCell ref="L16:P16"/>
    <mergeCell ref="A17:F17"/>
    <mergeCell ref="G17:K17"/>
    <mergeCell ref="L17:P17"/>
    <mergeCell ref="M19:M20"/>
    <mergeCell ref="N19:N20"/>
    <mergeCell ref="P20:P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